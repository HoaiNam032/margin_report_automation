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<sst xmlns="http://schemas.openxmlformats.org/spreadsheetml/2006/main" count="106" uniqueCount="38">
  <si>
    <t>TÌNH HÌNH GIAO DỊCH KÝ QUỸ</t>
  </si>
  <si>
    <t>Đơn vị : nghìn cổ phiếu,triệu đồng</t>
  </si>
  <si>
    <t>STT</t>
  </si>
  <si>
    <t>Mã chứng khoán</t>
  </si>
  <si>
    <t>Dư nợ cho vay GDKQ 
(1)</t>
  </si>
  <si>
    <t>Số lượng chứng khoán cho vay của CTCK 
(2)</t>
  </si>
  <si>
    <t>Số lượng chứng khoán niêm yết của TCNY
(3)</t>
  </si>
  <si>
    <t>Vốn chủ sở hữu của CTCK 
(4)</t>
  </si>
  <si>
    <t>Tỷ lệ dư nợ/VCSH 
(1)/(4)</t>
  </si>
  <si>
    <t>Tỷ lệ CK cho vay/CKNY
(2)/(3)</t>
  </si>
  <si>
    <t>Used GR</t>
  </si>
  <si>
    <t>Used SR</t>
  </si>
  <si>
    <t>Reference Price</t>
  </si>
  <si>
    <t>MR Loan ratio</t>
  </si>
  <si>
    <t>DP Loan ratio</t>
  </si>
  <si>
    <t>Max Price</t>
  </si>
  <si>
    <t>Control</t>
  </si>
  <si>
    <t>Total Used room</t>
  </si>
  <si>
    <t>Giá chặn riêng</t>
  </si>
  <si>
    <t>Tỷ lệ đặc biệt</t>
  </si>
  <si>
    <t>AAA</t>
  </si>
  <si>
    <t>-</t>
  </si>
  <si>
    <t>ABT</t>
  </si>
  <si>
    <t>ACB</t>
  </si>
  <si>
    <t>ACC</t>
  </si>
  <si>
    <t>ACG</t>
  </si>
  <si>
    <t>ACL</t>
  </si>
  <si>
    <t>ADG</t>
  </si>
  <si>
    <t>ADP</t>
  </si>
  <si>
    <t>ADS</t>
  </si>
  <si>
    <t>AGG</t>
  </si>
  <si>
    <t>AGR</t>
  </si>
  <si>
    <t>ANV</t>
  </si>
  <si>
    <t>APG</t>
  </si>
  <si>
    <t>ASG</t>
  </si>
  <si>
    <t>ASM</t>
  </si>
  <si>
    <t>AST</t>
  </si>
  <si>
    <t>BAB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</si>
</sst>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3"/>
      <name val="Times New Roman"/>
      <charset val="134"/>
    </font>
    <font>
      <i/>
      <sz val="11"/>
      <name val="Times New Roman"/>
      <charset val="134"/>
    </font>
    <font>
      <b/>
      <sz val="11"/>
      <color rgb="FF000000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867"/>
        <bgColor rgb="FFFFC867"/>
      </patternFill>
    </fill>
    <fill>
      <patternFill patternType="solid">
        <fgColor rgb="FFFFFF66"/>
        <bgColor rgb="FFFFFF66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/>
    <xf numFmtId="0" fontId="2" fillId="0" borderId="0" xfId="0" applyFont="1" applyFill="1" applyAlignment="1">
      <alignment horizontal="righ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1" xfId="0" applyFill="1" applyBorder="1" applyAlignment="1"/>
    <xf numFmtId="3" fontId="0" fillId="0" borderId="1" xfId="0" applyNumberFormat="1" applyFill="1" applyBorder="1" applyAlignment="1">
      <alignment horizontal="right" vertical="center"/>
    </xf>
    <xf numFmtId="10" fontId="0" fillId="0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right" vertical="center"/>
    </xf>
    <xf numFmtId="1" fontId="0" fillId="4" borderId="1" xfId="0" applyNumberFormat="1" applyFill="1" applyBorder="1" applyAlignment="1">
      <alignment horizontal="right" vertical="center"/>
    </xf>
    <xf numFmtId="3" fontId="0" fillId="0" borderId="0" xfId="0" applyNumberFormat="1" applyFill="1" applyAlignment="1">
      <alignment horizontal="right" vertical="center"/>
    </xf>
    <xf numFmtId="1" fontId="0" fillId="0" borderId="0" xfId="0" applyNumberFormat="1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3" fontId="4" fillId="0" borderId="0" xfId="0" applyNumberFormat="1" applyFont="1" applyFill="1" applyAlignment="1">
      <alignment horizontal="right" vertical="center"/>
    </xf>
    <xf numFmtId="10" fontId="0" fillId="0" borderId="0" xfId="0" applyNumberFormat="1" applyFill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tabSelected="1" workbookViewId="0">
      <selection activeCell="V3" sqref="V3"/>
    </sheetView>
  </sheetViews>
  <sheetFormatPr defaultColWidth="8.88888888888889" defaultRowHeight="14.4"/>
  <cols>
    <col min="3" max="3" width="9.77777777777778"/>
    <col min="5" max="6" width="9.55555555555556"/>
  </cols>
  <sheetData>
    <row r="1" ht="16.8" spans="1:1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96.6" spans="1:1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6" t="s">
        <v>16</v>
      </c>
      <c r="P3" s="7" t="s">
        <v>17</v>
      </c>
      <c r="Q3" s="7" t="s">
        <v>18</v>
      </c>
      <c r="R3" s="7" t="s">
        <v>19</v>
      </c>
    </row>
    <row r="4" spans="1:18">
      <c r="A4" s="8">
        <v>1</v>
      </c>
      <c r="B4" s="8" t="s">
        <v>20</v>
      </c>
      <c r="C4" s="9">
        <v>3897.03435</v>
      </c>
      <c r="D4" s="9">
        <v>980.386</v>
      </c>
      <c r="E4" s="9">
        <v>393742.73</v>
      </c>
      <c r="F4" s="9">
        <v>2077000</v>
      </c>
      <c r="G4" s="10">
        <v>0.00187628038035628</v>
      </c>
      <c r="H4" s="10">
        <v>0.00248991517887835</v>
      </c>
      <c r="I4" s="11">
        <v>980386</v>
      </c>
      <c r="J4" s="11" t="s">
        <v>21</v>
      </c>
      <c r="K4" s="11">
        <v>7950</v>
      </c>
      <c r="L4" s="12">
        <v>50</v>
      </c>
      <c r="M4" s="12">
        <v>50</v>
      </c>
      <c r="N4" s="11">
        <v>10640</v>
      </c>
      <c r="O4" s="13">
        <f>(I4*K4/1000*0.5)/1000</f>
        <v>3897.03435</v>
      </c>
      <c r="P4" s="13" t="s">
        <v>21</v>
      </c>
      <c r="Q4" s="13" t="s">
        <v>21</v>
      </c>
      <c r="R4" s="14">
        <v>0</v>
      </c>
    </row>
    <row r="5" spans="1:18">
      <c r="A5" s="8">
        <v>2</v>
      </c>
      <c r="B5" s="8" t="s">
        <v>22</v>
      </c>
      <c r="C5" s="9" t="s">
        <v>21</v>
      </c>
      <c r="D5" s="9" t="s">
        <v>21</v>
      </c>
      <c r="E5" s="9">
        <v>14387.207</v>
      </c>
      <c r="F5" s="9">
        <v>2077000</v>
      </c>
      <c r="G5" s="10">
        <v>0</v>
      </c>
      <c r="H5" s="10">
        <v>0</v>
      </c>
      <c r="I5" s="11" t="s">
        <v>21</v>
      </c>
      <c r="J5" s="11" t="s">
        <v>21</v>
      </c>
      <c r="K5" s="11">
        <v>64100</v>
      </c>
      <c r="L5" s="12">
        <v>50</v>
      </c>
      <c r="M5" s="12">
        <v>50</v>
      </c>
      <c r="N5" s="11">
        <v>95550</v>
      </c>
      <c r="O5" s="13"/>
      <c r="P5" s="13" t="s">
        <v>21</v>
      </c>
      <c r="Q5" s="13" t="s">
        <v>21</v>
      </c>
      <c r="R5" s="14">
        <v>0</v>
      </c>
    </row>
    <row r="6" spans="1:18">
      <c r="A6" s="8">
        <v>3</v>
      </c>
      <c r="B6" s="8" t="s">
        <v>23</v>
      </c>
      <c r="C6" s="9">
        <v>5880.21925</v>
      </c>
      <c r="D6" s="9">
        <v>487.985</v>
      </c>
      <c r="E6" s="9">
        <v>5136656.599</v>
      </c>
      <c r="F6" s="9">
        <v>2077000</v>
      </c>
      <c r="G6" s="10">
        <v>0.0028311118199326</v>
      </c>
      <c r="H6" s="10">
        <v>9.50005106619353e-5</v>
      </c>
      <c r="I6" s="11">
        <v>487985</v>
      </c>
      <c r="J6" s="11" t="s">
        <v>21</v>
      </c>
      <c r="K6" s="11">
        <v>24100</v>
      </c>
      <c r="L6" s="12">
        <v>50</v>
      </c>
      <c r="M6" s="12">
        <v>50</v>
      </c>
      <c r="N6" s="11">
        <v>31720</v>
      </c>
      <c r="O6" s="13">
        <f>(I6*K6/1000*0.5)/1000</f>
        <v>5880.21925</v>
      </c>
      <c r="P6" s="13" t="s">
        <v>21</v>
      </c>
      <c r="Q6" s="13" t="s">
        <v>21</v>
      </c>
      <c r="R6" s="14">
        <v>0</v>
      </c>
    </row>
    <row r="7" spans="1:18">
      <c r="A7" s="8">
        <v>4</v>
      </c>
      <c r="B7" s="8" t="s">
        <v>24</v>
      </c>
      <c r="C7" s="9" t="s">
        <v>21</v>
      </c>
      <c r="D7" s="9" t="s">
        <v>21</v>
      </c>
      <c r="E7" s="9">
        <v>104999.993</v>
      </c>
      <c r="F7" s="9">
        <v>2077000</v>
      </c>
      <c r="G7" s="10">
        <v>0</v>
      </c>
      <c r="H7" s="10">
        <v>0</v>
      </c>
      <c r="I7" s="11" t="s">
        <v>21</v>
      </c>
      <c r="J7" s="11" t="s">
        <v>21</v>
      </c>
      <c r="K7" s="11">
        <v>13150</v>
      </c>
      <c r="L7" s="12">
        <v>50</v>
      </c>
      <c r="M7" s="12">
        <v>50</v>
      </c>
      <c r="N7" s="11">
        <v>18070</v>
      </c>
      <c r="O7" s="15"/>
      <c r="P7" s="13" t="s">
        <v>21</v>
      </c>
      <c r="Q7" s="13" t="s">
        <v>21</v>
      </c>
      <c r="R7" s="14">
        <v>0</v>
      </c>
    </row>
    <row r="8" spans="1:18">
      <c r="A8" s="8">
        <v>5</v>
      </c>
      <c r="B8" s="8" t="s">
        <v>25</v>
      </c>
      <c r="C8" s="9" t="s">
        <v>21</v>
      </c>
      <c r="D8" s="9" t="s">
        <v>21</v>
      </c>
      <c r="E8" s="9">
        <v>150787.946</v>
      </c>
      <c r="F8" s="9">
        <v>2077000</v>
      </c>
      <c r="G8" s="10">
        <v>0</v>
      </c>
      <c r="H8" s="10">
        <v>0</v>
      </c>
      <c r="I8" s="11" t="s">
        <v>21</v>
      </c>
      <c r="J8" s="11" t="s">
        <v>21</v>
      </c>
      <c r="K8" s="11">
        <v>35700</v>
      </c>
      <c r="L8" s="12">
        <v>50</v>
      </c>
      <c r="M8" s="12">
        <v>50</v>
      </c>
      <c r="N8" s="11">
        <v>47120</v>
      </c>
      <c r="O8" s="15"/>
      <c r="P8" s="13" t="s">
        <v>21</v>
      </c>
      <c r="Q8" s="13" t="s">
        <v>21</v>
      </c>
      <c r="R8" s="14">
        <v>0</v>
      </c>
    </row>
    <row r="9" spans="1:18">
      <c r="A9" s="8">
        <v>6</v>
      </c>
      <c r="B9" s="8" t="s">
        <v>26</v>
      </c>
      <c r="C9" s="9">
        <v>2.0475</v>
      </c>
      <c r="D9" s="9">
        <v>0.3</v>
      </c>
      <c r="E9" s="9">
        <v>50159.019</v>
      </c>
      <c r="F9" s="9">
        <v>2077000</v>
      </c>
      <c r="G9" s="10">
        <v>9.85796822339913e-7</v>
      </c>
      <c r="H9" s="10">
        <v>5.98097821649981e-6</v>
      </c>
      <c r="I9" s="11">
        <v>300</v>
      </c>
      <c r="J9" s="11" t="s">
        <v>21</v>
      </c>
      <c r="K9" s="11">
        <v>13650</v>
      </c>
      <c r="L9" s="12">
        <v>50</v>
      </c>
      <c r="M9" s="12">
        <v>50</v>
      </c>
      <c r="N9" s="11">
        <v>18130</v>
      </c>
      <c r="O9" s="13">
        <f>(I9*0.5*13.6)/1000</f>
        <v>2.04</v>
      </c>
      <c r="P9" s="13" t="s">
        <v>21</v>
      </c>
      <c r="Q9" s="13" t="s">
        <v>21</v>
      </c>
      <c r="R9" s="14">
        <v>0</v>
      </c>
    </row>
    <row r="10" spans="1:18">
      <c r="A10" s="8">
        <v>7</v>
      </c>
      <c r="B10" s="8" t="s">
        <v>27</v>
      </c>
      <c r="C10" s="9" t="s">
        <v>21</v>
      </c>
      <c r="D10" s="9" t="s">
        <v>21</v>
      </c>
      <c r="E10" s="9">
        <v>21380.521</v>
      </c>
      <c r="F10" s="9">
        <v>2077000</v>
      </c>
      <c r="G10" s="10">
        <v>0</v>
      </c>
      <c r="H10" s="10">
        <v>0</v>
      </c>
      <c r="I10" s="11" t="s">
        <v>21</v>
      </c>
      <c r="J10" s="11" t="s">
        <v>21</v>
      </c>
      <c r="K10" s="11">
        <v>8660</v>
      </c>
      <c r="L10" s="12">
        <v>50</v>
      </c>
      <c r="M10" s="12">
        <v>50</v>
      </c>
      <c r="N10" s="11">
        <v>13190</v>
      </c>
      <c r="O10" s="15"/>
      <c r="P10" s="13" t="s">
        <v>21</v>
      </c>
      <c r="Q10" s="13" t="s">
        <v>21</v>
      </c>
      <c r="R10" s="14">
        <v>0</v>
      </c>
    </row>
    <row r="11" spans="1:18">
      <c r="A11" s="8">
        <v>8</v>
      </c>
      <c r="B11" s="8" t="s">
        <v>28</v>
      </c>
      <c r="C11" s="9" t="s">
        <v>21</v>
      </c>
      <c r="D11" s="9" t="s">
        <v>21</v>
      </c>
      <c r="E11" s="9">
        <v>23039.85</v>
      </c>
      <c r="F11" s="9">
        <v>2077000</v>
      </c>
      <c r="G11" s="10">
        <v>0</v>
      </c>
      <c r="H11" s="10">
        <v>0</v>
      </c>
      <c r="I11" s="11" t="s">
        <v>21</v>
      </c>
      <c r="J11" s="11" t="s">
        <v>21</v>
      </c>
      <c r="K11" s="11">
        <v>23400</v>
      </c>
      <c r="L11" s="12">
        <v>50</v>
      </c>
      <c r="M11" s="12">
        <v>50</v>
      </c>
      <c r="N11" s="11">
        <v>35880</v>
      </c>
      <c r="O11" s="15"/>
      <c r="P11" s="13" t="s">
        <v>21</v>
      </c>
      <c r="Q11" s="13" t="s">
        <v>21</v>
      </c>
      <c r="R11" s="14">
        <v>0</v>
      </c>
    </row>
    <row r="12" spans="1:18">
      <c r="A12" s="8">
        <v>9</v>
      </c>
      <c r="B12" s="8" t="s">
        <v>29</v>
      </c>
      <c r="C12" s="9">
        <v>93.665495</v>
      </c>
      <c r="D12" s="9">
        <v>22.117</v>
      </c>
      <c r="E12" s="9">
        <v>76394.727</v>
      </c>
      <c r="F12" s="9">
        <v>2077000</v>
      </c>
      <c r="G12" s="10">
        <v>4.50965310544054e-5</v>
      </c>
      <c r="H12" s="10">
        <v>0.000289509510257167</v>
      </c>
      <c r="I12" s="11">
        <v>22117</v>
      </c>
      <c r="J12" s="11" t="s">
        <v>21</v>
      </c>
      <c r="K12" s="11">
        <v>8470</v>
      </c>
      <c r="L12" s="12">
        <v>50</v>
      </c>
      <c r="M12" s="12">
        <v>50</v>
      </c>
      <c r="N12" s="11">
        <v>11000</v>
      </c>
      <c r="O12" s="13">
        <f>(I12*0.5*K12/1000)/1000</f>
        <v>93.665495</v>
      </c>
      <c r="P12" s="13" t="s">
        <v>21</v>
      </c>
      <c r="Q12" s="13" t="s">
        <v>21</v>
      </c>
      <c r="R12" s="14">
        <v>0</v>
      </c>
    </row>
    <row r="13" spans="1:18">
      <c r="A13" s="8">
        <v>10</v>
      </c>
      <c r="B13" s="8" t="s">
        <v>30</v>
      </c>
      <c r="C13" s="9">
        <v>53828.056656</v>
      </c>
      <c r="D13" s="9">
        <v>8126.40405</v>
      </c>
      <c r="E13" s="9">
        <v>162528.081</v>
      </c>
      <c r="F13" s="9">
        <v>2077000</v>
      </c>
      <c r="G13" s="10">
        <v>0.0259162526027925</v>
      </c>
      <c r="H13" s="10">
        <v>0.05</v>
      </c>
      <c r="I13" s="11">
        <v>5691</v>
      </c>
      <c r="J13" s="11">
        <v>11321762</v>
      </c>
      <c r="K13" s="11">
        <v>14850</v>
      </c>
      <c r="L13" s="12">
        <v>32</v>
      </c>
      <c r="M13" s="12">
        <v>32</v>
      </c>
      <c r="N13" s="11">
        <v>16220</v>
      </c>
      <c r="O13" s="13">
        <f>((I13+J13)*0.32*14.85)/1000</f>
        <v>53828.056656</v>
      </c>
      <c r="P13" s="13" t="s">
        <v>21</v>
      </c>
      <c r="Q13" s="13" t="s">
        <v>21</v>
      </c>
      <c r="R13" s="14">
        <v>0</v>
      </c>
    </row>
    <row r="14" spans="1:18">
      <c r="A14" s="8">
        <v>11</v>
      </c>
      <c r="B14" s="8" t="s">
        <v>31</v>
      </c>
      <c r="C14" s="9">
        <v>818.9025</v>
      </c>
      <c r="D14" s="9">
        <v>100.788</v>
      </c>
      <c r="E14" s="9">
        <v>228311.823</v>
      </c>
      <c r="F14" s="9">
        <v>2077000</v>
      </c>
      <c r="G14" s="10">
        <v>0.00039427178623014</v>
      </c>
      <c r="H14" s="10">
        <v>0.000441448886332969</v>
      </c>
      <c r="I14" s="11">
        <v>100788</v>
      </c>
      <c r="J14" s="11" t="s">
        <v>21</v>
      </c>
      <c r="K14" s="11">
        <v>16250</v>
      </c>
      <c r="L14" s="12">
        <v>50</v>
      </c>
      <c r="M14" s="12">
        <v>50</v>
      </c>
      <c r="N14" s="11">
        <v>23460</v>
      </c>
      <c r="O14" s="13">
        <f>(I14*K14/1000*0.5)/1000</f>
        <v>818.9025</v>
      </c>
      <c r="P14" s="13" t="s">
        <v>21</v>
      </c>
      <c r="Q14" s="13" t="s">
        <v>21</v>
      </c>
      <c r="R14" s="14">
        <v>0</v>
      </c>
    </row>
    <row r="15" spans="1:18">
      <c r="A15" s="8">
        <v>12</v>
      </c>
      <c r="B15" s="8" t="s">
        <v>32</v>
      </c>
      <c r="C15" s="9">
        <v>1777.051925</v>
      </c>
      <c r="D15" s="9">
        <v>124.487</v>
      </c>
      <c r="E15" s="9">
        <v>266667.5</v>
      </c>
      <c r="F15" s="9">
        <v>2077000</v>
      </c>
      <c r="G15" s="10">
        <v>0.000855585905151661</v>
      </c>
      <c r="H15" s="10">
        <v>0.000466824791172528</v>
      </c>
      <c r="I15" s="11">
        <v>124487</v>
      </c>
      <c r="J15" s="11" t="s">
        <v>21</v>
      </c>
      <c r="K15" s="11">
        <v>28550</v>
      </c>
      <c r="L15" s="12">
        <v>50</v>
      </c>
      <c r="M15" s="12">
        <v>50</v>
      </c>
      <c r="N15" s="11">
        <v>40600</v>
      </c>
      <c r="O15" s="15"/>
      <c r="P15" s="13" t="s">
        <v>21</v>
      </c>
      <c r="Q15" s="13" t="s">
        <v>21</v>
      </c>
      <c r="R15" s="14">
        <v>0</v>
      </c>
    </row>
    <row r="16" spans="1:18">
      <c r="A16" s="8">
        <v>13</v>
      </c>
      <c r="B16" s="8" t="s">
        <v>33</v>
      </c>
      <c r="C16" s="9">
        <v>40209.260245</v>
      </c>
      <c r="D16" s="9">
        <v>10993.646</v>
      </c>
      <c r="E16" s="9">
        <v>223621.942</v>
      </c>
      <c r="F16" s="9">
        <v>2077000</v>
      </c>
      <c r="G16" s="10">
        <v>0.0193592971810303</v>
      </c>
      <c r="H16" s="10">
        <v>0.0491617499681673</v>
      </c>
      <c r="I16" s="11">
        <v>500008</v>
      </c>
      <c r="J16" s="11">
        <v>10493638</v>
      </c>
      <c r="K16" s="11">
        <v>10450</v>
      </c>
      <c r="L16" s="12">
        <v>35</v>
      </c>
      <c r="M16" s="12">
        <v>35</v>
      </c>
      <c r="N16" s="11">
        <v>11420</v>
      </c>
      <c r="O16" s="15"/>
      <c r="P16" s="13" t="s">
        <v>21</v>
      </c>
      <c r="Q16" s="13" t="s">
        <v>21</v>
      </c>
      <c r="R16" s="14">
        <v>0</v>
      </c>
    </row>
    <row r="17" spans="1:18">
      <c r="A17" s="8">
        <v>14</v>
      </c>
      <c r="B17" s="8" t="s">
        <v>34</v>
      </c>
      <c r="C17" s="9" t="s">
        <v>21</v>
      </c>
      <c r="D17" s="9" t="s">
        <v>21</v>
      </c>
      <c r="E17" s="9">
        <v>90784.669</v>
      </c>
      <c r="F17" s="9">
        <v>2077000</v>
      </c>
      <c r="G17" s="10">
        <v>0</v>
      </c>
      <c r="H17" s="10">
        <v>0</v>
      </c>
      <c r="I17" s="11" t="s">
        <v>21</v>
      </c>
      <c r="J17" s="11" t="s">
        <v>21</v>
      </c>
      <c r="K17" s="11">
        <v>17000</v>
      </c>
      <c r="L17" s="12">
        <v>50</v>
      </c>
      <c r="M17" s="12">
        <v>50</v>
      </c>
      <c r="N17" s="11">
        <v>22100</v>
      </c>
      <c r="O17" s="15"/>
      <c r="P17" s="13" t="s">
        <v>21</v>
      </c>
      <c r="Q17" s="13" t="s">
        <v>21</v>
      </c>
      <c r="R17" s="14">
        <v>0</v>
      </c>
    </row>
    <row r="18" spans="1:18">
      <c r="A18" s="8">
        <v>15</v>
      </c>
      <c r="B18" s="8" t="s">
        <v>35</v>
      </c>
      <c r="C18" s="9">
        <v>286.68784</v>
      </c>
      <c r="D18" s="9">
        <v>90.724</v>
      </c>
      <c r="E18" s="9">
        <v>407194.183</v>
      </c>
      <c r="F18" s="9">
        <v>2077000</v>
      </c>
      <c r="G18" s="10">
        <v>0.000138029773712085</v>
      </c>
      <c r="H18" s="10">
        <v>0.000222802789891525</v>
      </c>
      <c r="I18" s="11">
        <v>33069</v>
      </c>
      <c r="J18" s="11">
        <v>57655</v>
      </c>
      <c r="K18" s="11">
        <v>6320</v>
      </c>
      <c r="L18" s="12">
        <v>50</v>
      </c>
      <c r="M18" s="12">
        <v>50</v>
      </c>
      <c r="N18" s="11">
        <v>10490</v>
      </c>
      <c r="O18" s="15"/>
      <c r="P18" s="13" t="s">
        <v>21</v>
      </c>
      <c r="Q18" s="13" t="s">
        <v>21</v>
      </c>
      <c r="R18" s="14">
        <v>0</v>
      </c>
    </row>
    <row r="19" spans="1:18">
      <c r="A19" s="8">
        <v>16</v>
      </c>
      <c r="B19" s="8" t="s">
        <v>36</v>
      </c>
      <c r="C19" s="9" t="s">
        <v>21</v>
      </c>
      <c r="D19" s="9" t="s">
        <v>21</v>
      </c>
      <c r="E19" s="9">
        <v>45000</v>
      </c>
      <c r="F19" s="9">
        <v>2077000</v>
      </c>
      <c r="G19" s="10">
        <v>0</v>
      </c>
      <c r="H19" s="10">
        <v>0</v>
      </c>
      <c r="I19" s="11" t="s">
        <v>21</v>
      </c>
      <c r="J19" s="11" t="s">
        <v>21</v>
      </c>
      <c r="K19" s="11">
        <v>73000</v>
      </c>
      <c r="L19" s="12">
        <v>50</v>
      </c>
      <c r="M19" s="12">
        <v>50</v>
      </c>
      <c r="N19" s="11">
        <v>86450</v>
      </c>
      <c r="O19" s="15"/>
      <c r="P19" s="13" t="s">
        <v>21</v>
      </c>
      <c r="Q19" s="13" t="s">
        <v>21</v>
      </c>
      <c r="R19" s="14">
        <v>0</v>
      </c>
    </row>
    <row r="20" spans="1:18">
      <c r="A20" s="8">
        <v>17</v>
      </c>
      <c r="B20" s="8" t="s">
        <v>37</v>
      </c>
      <c r="C20" s="9">
        <v>0.645</v>
      </c>
      <c r="D20" s="9">
        <v>0.1</v>
      </c>
      <c r="E20" s="9">
        <v>1003219.052</v>
      </c>
      <c r="F20" s="9">
        <v>2077000</v>
      </c>
      <c r="G20" s="10">
        <v>3.10544053923929e-7</v>
      </c>
      <c r="H20" s="10">
        <v>9.96791277046042e-8</v>
      </c>
      <c r="I20" s="11">
        <v>100</v>
      </c>
      <c r="J20" s="11" t="s">
        <v>21</v>
      </c>
      <c r="K20" s="11">
        <v>12900</v>
      </c>
      <c r="L20" s="12">
        <v>50</v>
      </c>
      <c r="M20" s="12">
        <v>50</v>
      </c>
      <c r="N20" s="11">
        <v>18000</v>
      </c>
      <c r="O20" s="15"/>
      <c r="P20" s="13" t="s">
        <v>21</v>
      </c>
      <c r="Q20" s="13" t="s">
        <v>21</v>
      </c>
      <c r="R20" s="14">
        <v>0</v>
      </c>
    </row>
    <row r="21" spans="1:18">
      <c r="A21" s="2"/>
      <c r="B21" s="2"/>
      <c r="C21" s="16">
        <f>SUM(C4:C20)</f>
        <v>106793.570761</v>
      </c>
      <c r="D21" s="16">
        <f>SUM(D4:D20)</f>
        <v>20926.93705</v>
      </c>
      <c r="E21" s="13"/>
      <c r="F21" s="13"/>
      <c r="G21" s="17"/>
      <c r="H21" s="17"/>
      <c r="I21" s="13"/>
      <c r="J21" s="13"/>
      <c r="K21" s="13"/>
      <c r="L21" s="14"/>
      <c r="M21" s="14"/>
      <c r="N21" s="13"/>
      <c r="O21" s="15"/>
      <c r="P21" s="13"/>
      <c r="Q21" s="13"/>
      <c r="R21" s="14"/>
    </row>
  </sheetData>
  <mergeCells count="2">
    <mergeCell ref="A1:H1"/>
    <mergeCell ref="A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Trần Hoài Nam</cp:lastModifiedBy>
  <dcterms:created xsi:type="dcterms:W3CDTF">2026-09-15T14:10:27Z</dcterms:created>
  <dcterms:modified xsi:type="dcterms:W3CDTF">2026-09-15T14:11:58Z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4FA819221D404F2483A40CC58B19808D_11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